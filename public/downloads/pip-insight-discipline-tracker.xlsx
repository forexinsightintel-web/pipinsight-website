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ipline Tracker" sheetId="1" state="visible" r:id="rId3"/>
    <sheet name="Trade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<sst xmlns="http://schemas.openxmlformats.org/spreadsheetml/2006/main" count="48" uniqueCount="48">
  <si>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PIP:INSIGHT — DISCIPLINE TRACKER</t>
  </si>
  <si>
    <t xml:space="preserve">Tick a habit's box for each day you kept it. The month score computes itself. Process first — results follow the process.</t>
  </si>
  <si>
    <t xml:space="preserve">DAILY HABIT</t>
  </si>
  <si>
    <t xml:space="preserve">KEPT</t>
  </si>
  <si>
    <t xml:space="preserve">SCORE</t>
  </si>
  <si>
    <t xml:space="preserve">Checked the economic calendar</t>
  </si>
  <si>
    <t xml:space="preserve">Marked key levels before the session</t>
  </si>
  <si>
    <t xml:space="preserve">Higher-timeframe bias written down</t>
  </si>
  <si>
    <t xml:space="preserve">No trades in the first 5 minutes</t>
  </si>
  <si>
    <t xml:space="preserve">Every trade had a stop at entry</t>
  </si>
  <si>
    <t xml:space="preserve">Only planned setups taken</t>
  </si>
  <si>
    <t xml:space="preserve">Max daily trades respected</t>
  </si>
  <si>
    <t xml:space="preserve">Risk per trade within limit</t>
  </si>
  <si>
    <t xml:space="preserve">No moving stops against the trade</t>
  </si>
  <si>
    <t xml:space="preserve">Journalled every trade</t>
  </si>
  <si>
    <t xml:space="preserve">Walked away after the session</t>
  </si>
  <si>
    <t xml:space="preserve">No revenge trading</t>
  </si>
  <si>
    <t xml:space="preserve">MONTH DISCIPLINE SCORE</t>
  </si>
  <si>
    <t xml:space="preserve">HOW TO USE</t>
  </si>
  <si>
    <t xml:space="preserve">• Type 1 in a day's box when you kept the habit; leave blank when you didn't. Only the day boxes are for typing — KEPT and SCORE compute themselves.</t>
  </si>
  <si>
    <t xml:space="preserve">• Day 1 is filled in as an example of a decent-but-honest day — overwrite it with your own.</t>
  </si>
  <si>
    <t xml:space="preserve">• Score the process, not the P&amp;L. A losing day where every habit held is a good day.</t>
  </si>
  <si>
    <t xml:space="preserve">pip-insight.co.uk — free tools for disciplined trading. Educational only; trading involves substantial risk of loss.</t>
  </si>
  <si>
    <t xml:space="preserve">TRADE LOG — the same columns as the web journal at pip-insight.co.uk/journal</t>
  </si>
  <si>
    <t xml:space="preserve">Date</t>
  </si>
  <si>
    <t xml:space="preserve">Pair</t>
  </si>
  <si>
    <t xml:space="preserve">Direction</t>
  </si>
  <si>
    <t xml:space="preserve">Session</t>
  </si>
  <si>
    <t xml:space="preserve">Setup</t>
  </si>
  <si>
    <t xml:space="preserve">Risk (R planned)</t>
  </si>
  <si>
    <t xml:space="preserve">Result (R)</t>
  </si>
  <si>
    <t xml:space="preserve">Emotion</t>
  </si>
  <si>
    <t xml:space="preserve">Planned trade?</t>
  </si>
  <si>
    <t xml:space="preserve">Notes</t>
  </si>
  <si>
    <t xml:space="preserve">2026-07-17</t>
  </si>
  <si>
    <t xml:space="preserve">EURUSD</t>
  </si>
  <si>
    <t xml:space="preserve">Long</t>
  </si>
  <si>
    <t xml:space="preserve">London</t>
  </si>
  <si>
    <t xml:space="preserve">Break + retest</t>
  </si>
  <si>
    <t xml:space="preserve">Calm</t>
  </si>
  <si>
    <t xml:space="preserve">Yes</t>
  </si>
  <si>
    <t xml:space="preserve">Waited for the retest; partial at 1R, runner to target.</t>
  </si>
  <si>
    <t xml:space="preserve">TOTALS</t>
  </si>
  <si>
    <t xml:space="preserve">Trades:</t>
  </si>
  <si>
    <t xml:space="preserve">Net R:</t>
  </si>
  <si>
    <t xml:space="preserve">Win rate:</t>
  </si>
  <si>
    <t xml:space="preserve">The row in blue is an example — overwrite it. Result (R) is your outcome in risk units: risked 1R, made 1.8R -&gt; 1.8; lost the full stop -&gt; -1.</t>
  </si>
  <si>
    <t xml:space="preserve">Prefer software to spreadsheets? The free web journal analyses all of this for you: pip-insight.co.uk/journal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</si>
</sst>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CBD5E1"/>
      <name val="Arial"/>
      <family val="0"/>
      <charset val="1"/>
    </font>
    <font>
      <b val="true"/>
      <sz val="10"/>
      <color rgb="FF0B1526"/>
      <name val="Arial"/>
      <family val="0"/>
      <charset val="1"/>
    </font>
    <font>
      <b val="true"/>
      <sz val="9"/>
      <color rgb="FF0B152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3896D"/>
      <name val="Arial"/>
      <family val="0"/>
      <charset val="1"/>
    </font>
    <font>
      <b val="true"/>
      <sz val="11"/>
      <color rgb="FF0B1526"/>
      <name val="Arial"/>
      <family val="0"/>
      <charset val="1"/>
    </font>
    <font>
      <b val="true"/>
      <sz val="12"/>
      <color rgb="FF13896D"/>
      <name val="Arial"/>
      <family val="0"/>
      <charset val="1"/>
    </font>
    <font>
      <sz val="9"/>
      <color rgb="FF475569"/>
      <name val="Arial"/>
      <family val="0"/>
      <charset val="1"/>
    </font>
    <font>
      <sz val="8"/>
      <color rgb="FF94A3B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526"/>
        <bgColor rgb="FF000000"/>
      </patternFill>
    </fill>
    <fill>
      <patternFill patternType="solid">
        <fgColor rgb="FFEDF7F3"/>
        <bgColor rgb="FFFFFFFF"/>
      </patternFill>
    </fill>
    <fill>
      <patternFill patternType="solid">
        <fgColor rgb="FFFFFFFF"/>
        <bgColor rgb="FFEDF7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3896D"/>
      <rgbColor rgb="FFC0C0C0"/>
      <rgbColor rgb="FF808080"/>
      <rgbColor rgb="FF9999FF"/>
      <rgbColor rgb="FF993366"/>
      <rgbColor rgb="FFEDF7F3"/>
      <rgbColor rgb="FFD7DEE8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003366"/>
      <rgbColor rgb="FF339966"/>
      <rgbColor rgb="FF0B15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35" min="5" style="0" width="3.4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4" t="n">
        <v>1</v>
      </c>
      <c r="F5" s="4" t="n">
        <v>2</v>
      </c>
      <c r="G5" s="4" t="n">
        <v>3</v>
      </c>
      <c r="H5" s="4" t="n">
        <v>4</v>
      </c>
      <c r="I5" s="4" t="n">
        <v>5</v>
      </c>
      <c r="J5" s="4" t="n">
        <v>6</v>
      </c>
      <c r="K5" s="4" t="n">
        <v>7</v>
      </c>
      <c r="L5" s="4" t="n">
        <v>8</v>
      </c>
      <c r="M5" s="4" t="n">
        <v>9</v>
      </c>
      <c r="N5" s="4" t="n">
        <v>10</v>
      </c>
      <c r="O5" s="4" t="n">
        <v>11</v>
      </c>
      <c r="P5" s="4" t="n">
        <v>12</v>
      </c>
      <c r="Q5" s="4" t="n">
        <v>13</v>
      </c>
      <c r="R5" s="4" t="n">
        <v>14</v>
      </c>
      <c r="S5" s="4" t="n">
        <v>15</v>
      </c>
      <c r="T5" s="4" t="n">
        <v>16</v>
      </c>
      <c r="U5" s="4" t="n">
        <v>17</v>
      </c>
      <c r="V5" s="4" t="n">
        <v>18</v>
      </c>
      <c r="W5" s="4" t="n">
        <v>19</v>
      </c>
      <c r="X5" s="4" t="n">
        <v>20</v>
      </c>
      <c r="Y5" s="4" t="n">
        <v>21</v>
      </c>
      <c r="Z5" s="4" t="n">
        <v>22</v>
      </c>
      <c r="AA5" s="4" t="n">
        <v>23</v>
      </c>
      <c r="AB5" s="4" t="n">
        <v>24</v>
      </c>
      <c r="AC5" s="4" t="n">
        <v>25</v>
      </c>
      <c r="AD5" s="4" t="n">
        <v>26</v>
      </c>
      <c r="AE5" s="4" t="n">
        <v>27</v>
      </c>
      <c r="AF5" s="4" t="n">
        <v>28</v>
      </c>
      <c r="AG5" s="4" t="n">
        <v>29</v>
      </c>
      <c r="AH5" s="4" t="n">
        <v>30</v>
      </c>
      <c r="AI5" s="4" t="n">
        <v>31</v>
      </c>
    </row>
    <row r="6" customFormat="false" ht="15" hidden="false" customHeight="false" outlineLevel="0" collapsed="false">
      <c r="B6" s="5" t="s">
        <v>5</v>
      </c>
      <c r="C6" s="6" t="n">
        <f aca="false">SUM(E6:AI6)</f>
        <v>1</v>
      </c>
      <c r="D6" s="7" t="n">
        <f aca="false">IF(COUNT(E6:AI6)=0,0,SUM(E6:AI6)/31)</f>
        <v>0.032258064516129</v>
      </c>
      <c r="E6" s="8" t="n">
        <v>1</v>
      </c>
      <c r="F6" s="9"/>
      <c r="G6" s="8"/>
      <c r="H6" s="9"/>
      <c r="I6" s="8"/>
      <c r="J6" s="9"/>
      <c r="K6" s="8"/>
      <c r="L6" s="9"/>
      <c r="M6" s="8"/>
      <c r="N6" s="9"/>
      <c r="O6" s="8"/>
      <c r="P6" s="9"/>
      <c r="Q6" s="8"/>
      <c r="R6" s="9"/>
      <c r="S6" s="8"/>
      <c r="T6" s="9"/>
      <c r="U6" s="8"/>
      <c r="V6" s="9"/>
      <c r="W6" s="8"/>
      <c r="X6" s="9"/>
      <c r="Y6" s="8"/>
      <c r="Z6" s="9"/>
      <c r="AA6" s="8"/>
      <c r="AB6" s="9"/>
      <c r="AC6" s="8"/>
      <c r="AD6" s="9"/>
      <c r="AE6" s="8"/>
      <c r="AF6" s="9"/>
      <c r="AG6" s="8"/>
      <c r="AH6" s="9"/>
      <c r="AI6" s="8"/>
    </row>
    <row r="7" customFormat="false" ht="15" hidden="false" customHeight="false" outlineLevel="0" collapsed="false">
      <c r="B7" s="5" t="s">
        <v>6</v>
      </c>
      <c r="C7" s="6" t="n">
        <f aca="false">SUM(E7:AI7)</f>
        <v>1</v>
      </c>
      <c r="D7" s="7" t="n">
        <f aca="false">IF(COUNT(E7:AI7)=0,0,SUM(E7:AI7)/31)</f>
        <v>0.032258064516129</v>
      </c>
      <c r="E7" s="8" t="n">
        <v>1</v>
      </c>
      <c r="F7" s="9"/>
      <c r="G7" s="8"/>
      <c r="H7" s="9"/>
      <c r="I7" s="8"/>
      <c r="J7" s="9"/>
      <c r="K7" s="8"/>
      <c r="L7" s="9"/>
      <c r="M7" s="8"/>
      <c r="N7" s="9"/>
      <c r="O7" s="8"/>
      <c r="P7" s="9"/>
      <c r="Q7" s="8"/>
      <c r="R7" s="9"/>
      <c r="S7" s="8"/>
      <c r="T7" s="9"/>
      <c r="U7" s="8"/>
      <c r="V7" s="9"/>
      <c r="W7" s="8"/>
      <c r="X7" s="9"/>
      <c r="Y7" s="8"/>
      <c r="Z7" s="9"/>
      <c r="AA7" s="8"/>
      <c r="AB7" s="9"/>
      <c r="AC7" s="8"/>
      <c r="AD7" s="9"/>
      <c r="AE7" s="8"/>
      <c r="AF7" s="9"/>
      <c r="AG7" s="8"/>
      <c r="AH7" s="9"/>
      <c r="AI7" s="8"/>
    </row>
    <row r="8" customFormat="false" ht="15" hidden="false" customHeight="false" outlineLevel="0" collapsed="false">
      <c r="B8" s="5" t="s">
        <v>7</v>
      </c>
      <c r="C8" s="6" t="n">
        <f aca="false">SUM(E8:AI8)</f>
        <v>1</v>
      </c>
      <c r="D8" s="7" t="n">
        <f aca="false">IF(COUNT(E8:AI8)=0,0,SUM(E8:AI8)/31)</f>
        <v>0.032258064516129</v>
      </c>
      <c r="E8" s="8" t="n">
        <v>1</v>
      </c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8"/>
      <c r="AD8" s="9"/>
      <c r="AE8" s="8"/>
      <c r="AF8" s="9"/>
      <c r="AG8" s="8"/>
      <c r="AH8" s="9"/>
      <c r="AI8" s="8"/>
    </row>
    <row r="9" customFormat="false" ht="15" hidden="false" customHeight="false" outlineLevel="0" collapsed="false">
      <c r="B9" s="5" t="s">
        <v>8</v>
      </c>
      <c r="C9" s="6" t="n">
        <f aca="false">SUM(E9:AI9)</f>
        <v>0</v>
      </c>
      <c r="D9" s="7" t="n">
        <f aca="false">IF(COUNT(E9:AI9)=0,0,SUM(E9:AI9)/31)</f>
        <v>0</v>
      </c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8"/>
      <c r="AD9" s="9"/>
      <c r="AE9" s="8"/>
      <c r="AF9" s="9"/>
      <c r="AG9" s="8"/>
      <c r="AH9" s="9"/>
      <c r="AI9" s="8"/>
    </row>
    <row r="10" customFormat="false" ht="15" hidden="false" customHeight="false" outlineLevel="0" collapsed="false">
      <c r="B10" s="5" t="s">
        <v>9</v>
      </c>
      <c r="C10" s="6" t="n">
        <f aca="false">SUM(E10:AI10)</f>
        <v>1</v>
      </c>
      <c r="D10" s="7" t="n">
        <f aca="false">IF(COUNT(E10:AI10)=0,0,SUM(E10:AI10)/31)</f>
        <v>0.032258064516129</v>
      </c>
      <c r="E10" s="8" t="n">
        <v>1</v>
      </c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8"/>
      <c r="AD10" s="9"/>
      <c r="AE10" s="8"/>
      <c r="AF10" s="9"/>
      <c r="AG10" s="8"/>
      <c r="AH10" s="9"/>
      <c r="AI10" s="8"/>
    </row>
    <row r="11" customFormat="false" ht="15" hidden="false" customHeight="false" outlineLevel="0" collapsed="false">
      <c r="B11" s="5" t="s">
        <v>10</v>
      </c>
      <c r="C11" s="6" t="n">
        <f aca="false">SUM(E11:AI11)</f>
        <v>1</v>
      </c>
      <c r="D11" s="7" t="n">
        <f aca="false">IF(COUNT(E11:AI11)=0,0,SUM(E11:AI11)/31)</f>
        <v>0.032258064516129</v>
      </c>
      <c r="E11" s="8" t="n">
        <v>1</v>
      </c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8"/>
      <c r="AD11" s="9"/>
      <c r="AE11" s="8"/>
      <c r="AF11" s="9"/>
      <c r="AG11" s="8"/>
      <c r="AH11" s="9"/>
      <c r="AI11" s="8"/>
    </row>
    <row r="12" customFormat="false" ht="15" hidden="false" customHeight="false" outlineLevel="0" collapsed="false">
      <c r="B12" s="5" t="s">
        <v>11</v>
      </c>
      <c r="C12" s="6" t="n">
        <f aca="false">SUM(E12:AI12)</f>
        <v>1</v>
      </c>
      <c r="D12" s="7" t="n">
        <f aca="false">IF(COUNT(E12:AI12)=0,0,SUM(E12:AI12)/31)</f>
        <v>0.032258064516129</v>
      </c>
      <c r="E12" s="8" t="n">
        <v>1</v>
      </c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8"/>
      <c r="AD12" s="9"/>
      <c r="AE12" s="8"/>
      <c r="AF12" s="9"/>
      <c r="AG12" s="8"/>
      <c r="AH12" s="9"/>
      <c r="AI12" s="8"/>
    </row>
    <row r="13" customFormat="false" ht="15" hidden="false" customHeight="false" outlineLevel="0" collapsed="false">
      <c r="B13" s="5" t="s">
        <v>12</v>
      </c>
      <c r="C13" s="6" t="n">
        <f aca="false">SUM(E13:AI13)</f>
        <v>1</v>
      </c>
      <c r="D13" s="7" t="n">
        <f aca="false">IF(COUNT(E13:AI13)=0,0,SUM(E13:AI13)/31)</f>
        <v>0.032258064516129</v>
      </c>
      <c r="E13" s="8" t="n">
        <v>1</v>
      </c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8"/>
      <c r="AD13" s="9"/>
      <c r="AE13" s="8"/>
      <c r="AF13" s="9"/>
      <c r="AG13" s="8"/>
      <c r="AH13" s="9"/>
      <c r="AI13" s="8"/>
    </row>
    <row r="14" customFormat="false" ht="15" hidden="false" customHeight="false" outlineLevel="0" collapsed="false">
      <c r="B14" s="5" t="s">
        <v>13</v>
      </c>
      <c r="C14" s="6" t="n">
        <f aca="false">SUM(E14:AI14)</f>
        <v>0</v>
      </c>
      <c r="D14" s="7" t="n">
        <f aca="false">IF(COUNT(E14:AI14)=0,0,SUM(E14:AI14)/31)</f>
        <v>0</v>
      </c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8"/>
      <c r="AD14" s="9"/>
      <c r="AE14" s="8"/>
      <c r="AF14" s="9"/>
      <c r="AG14" s="8"/>
      <c r="AH14" s="9"/>
      <c r="AI14" s="8"/>
    </row>
    <row r="15" customFormat="false" ht="15" hidden="false" customHeight="false" outlineLevel="0" collapsed="false">
      <c r="B15" s="5" t="s">
        <v>14</v>
      </c>
      <c r="C15" s="6" t="n">
        <f aca="false">SUM(E15:AI15)</f>
        <v>1</v>
      </c>
      <c r="D15" s="7" t="n">
        <f aca="false">IF(COUNT(E15:AI15)=0,0,SUM(E15:AI15)/31)</f>
        <v>0.032258064516129</v>
      </c>
      <c r="E15" s="8" t="n">
        <v>1</v>
      </c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8"/>
      <c r="AD15" s="9"/>
      <c r="AE15" s="8"/>
      <c r="AF15" s="9"/>
      <c r="AG15" s="8"/>
      <c r="AH15" s="9"/>
      <c r="AI15" s="8"/>
    </row>
    <row r="16" customFormat="false" ht="15" hidden="false" customHeight="false" outlineLevel="0" collapsed="false">
      <c r="B16" s="5" t="s">
        <v>15</v>
      </c>
      <c r="C16" s="6" t="n">
        <f aca="false">SUM(E16:AI16)</f>
        <v>1</v>
      </c>
      <c r="D16" s="7" t="n">
        <f aca="false">IF(COUNT(E16:AI16)=0,0,SUM(E16:AI16)/31)</f>
        <v>0.032258064516129</v>
      </c>
      <c r="E16" s="8" t="n">
        <v>1</v>
      </c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8"/>
      <c r="AD16" s="9"/>
      <c r="AE16" s="8"/>
      <c r="AF16" s="9"/>
      <c r="AG16" s="8"/>
      <c r="AH16" s="9"/>
      <c r="AI16" s="8"/>
    </row>
    <row r="17" customFormat="false" ht="15" hidden="false" customHeight="false" outlineLevel="0" collapsed="false">
      <c r="B17" s="5" t="s">
        <v>16</v>
      </c>
      <c r="C17" s="6" t="n">
        <f aca="false">SUM(E17:AI17)</f>
        <v>1</v>
      </c>
      <c r="D17" s="7" t="n">
        <f aca="false">IF(COUNT(E17:AI17)=0,0,SUM(E17:AI17)/31)</f>
        <v>0.032258064516129</v>
      </c>
      <c r="E17" s="8" t="n">
        <v>1</v>
      </c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8"/>
      <c r="AD17" s="9"/>
      <c r="AE17" s="8"/>
      <c r="AF17" s="9"/>
      <c r="AG17" s="8"/>
      <c r="AH17" s="9"/>
      <c r="AI17" s="8"/>
    </row>
    <row r="18" customFormat="false" ht="15" hidden="false" customHeight="false" outlineLevel="0" collapsed="false">
      <c r="B18" s="10" t="s">
        <v>17</v>
      </c>
      <c r="D18" s="11" t="n">
        <f aca="false">IF(SUM(C6:C17)=0,0,AVERAGE(D6:D17))</f>
        <v>0.0268817204301075</v>
      </c>
    </row>
    <row r="20" customFormat="false" ht="15" hidden="false" customHeight="false" outlineLevel="0" collapsed="false">
      <c r="B20" s="3" t="s">
        <v>18</v>
      </c>
    </row>
    <row r="21" customFormat="false" ht="15" hidden="false" customHeight="false" outlineLevel="0" collapsed="false">
      <c r="B21" s="12" t="s">
        <v>19</v>
      </c>
    </row>
    <row r="22" customFormat="false" ht="15" hidden="false" customHeight="false" outlineLevel="0" collapsed="false">
      <c r="B22" s="12" t="s">
        <v>20</v>
      </c>
    </row>
    <row r="23" customFormat="false" ht="15" hidden="false" customHeight="false" outlineLevel="0" collapsed="false">
      <c r="B23" s="12" t="s">
        <v>21</v>
      </c>
    </row>
    <row r="25" customFormat="false" ht="15" hidden="false" customHeight="false" outlineLevel="0" collapsed="false">
      <c r="B25" s="13" t="s">
        <v>22</v>
      </c>
    </row>
  </sheetData>
  <mergeCells count="2">
    <mergeCell ref="B2:AI2"/>
    <mergeCell ref="B3:AI3"/>
  </mergeCells>
  <conditionalFormatting sqref="D6:D17">
    <cfRule type="dataBar" priority="2">
      <dataBar showValue="1" minLength="10" maxLength="90">
        <cfvo type="num" val="0"/>
        <cfvo type="num" val="1"/>
        <color rgb="FF1AAF8B"/>
      </dataBar>
      <extLst>
        <ext xmlns:x14="http://schemas.microsoft.com/office/spreadsheetml/2009/9/main" uri="{B025F937-C7B1-47D3-B67F-A62EFF666E3E}">
          <x14:id>{6D74C0B0-383F-4BE8-8FA7-FF339F4C448D}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74C0B0-383F-4BE8-8FA7-FF339F4C448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AAF8B"/>
              <x14:axisColor rgb="FF000000"/>
            </x14:dataBar>
          </x14:cfRule>
          <xm:sqref>D6:D17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2"/>
  </cols>
  <sheetData>
    <row r="2" customFormat="false" ht="24" hidden="false" customHeight="true" outlineLevel="0" collapsed="false">
      <c r="B2" s="14" t="s">
        <v>23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15" hidden="false" customHeight="false" outlineLevel="0" collapsed="false">
      <c r="B4" s="15" t="s">
        <v>24</v>
      </c>
      <c r="C4" s="15" t="s">
        <v>25</v>
      </c>
      <c r="D4" s="15" t="s">
        <v>26</v>
      </c>
      <c r="E4" s="15" t="s">
        <v>27</v>
      </c>
      <c r="F4" s="15" t="s">
        <v>28</v>
      </c>
      <c r="G4" s="15" t="s">
        <v>29</v>
      </c>
      <c r="H4" s="15" t="s">
        <v>30</v>
      </c>
      <c r="I4" s="15" t="s">
        <v>31</v>
      </c>
      <c r="J4" s="15" t="s">
        <v>32</v>
      </c>
      <c r="K4" s="15" t="s">
        <v>33</v>
      </c>
    </row>
    <row r="5" customFormat="false" ht="15" hidden="false" customHeight="false" outlineLevel="0" collapsed="false">
      <c r="B5" s="16" t="s">
        <v>34</v>
      </c>
      <c r="C5" s="16" t="s">
        <v>35</v>
      </c>
      <c r="D5" s="16" t="s">
        <v>36</v>
      </c>
      <c r="E5" s="16" t="s">
        <v>37</v>
      </c>
      <c r="F5" s="16" t="s">
        <v>38</v>
      </c>
      <c r="G5" s="16" t="n">
        <v>1</v>
      </c>
      <c r="H5" s="16" t="n">
        <v>1.8</v>
      </c>
      <c r="I5" s="16" t="s">
        <v>39</v>
      </c>
      <c r="J5" s="16" t="s">
        <v>40</v>
      </c>
      <c r="K5" s="16" t="s">
        <v>41</v>
      </c>
    </row>
    <row r="6" customFormat="false" ht="15" hidden="false" customHeight="false" outlineLevel="0" collapsed="false">
      <c r="B6" s="17"/>
      <c r="C6" s="17"/>
      <c r="D6" s="17"/>
      <c r="E6" s="17"/>
      <c r="F6" s="17"/>
      <c r="G6" s="17"/>
      <c r="H6" s="17"/>
      <c r="I6" s="17"/>
      <c r="J6" s="17"/>
      <c r="K6" s="17"/>
    </row>
    <row r="7" customFormat="false" ht="15" hidden="false" customHeight="false" outlineLevel="0" collapsed="false">
      <c r="B7" s="17"/>
      <c r="C7" s="17"/>
      <c r="D7" s="17"/>
      <c r="E7" s="17"/>
      <c r="F7" s="17"/>
      <c r="G7" s="17"/>
      <c r="H7" s="17"/>
      <c r="I7" s="17"/>
      <c r="J7" s="17"/>
      <c r="K7" s="17"/>
    </row>
    <row r="8" customFormat="false" ht="15" hidden="false" customHeight="false" outlineLevel="0" collapsed="false">
      <c r="B8" s="17"/>
      <c r="C8" s="17"/>
      <c r="D8" s="17"/>
      <c r="E8" s="17"/>
      <c r="F8" s="17"/>
      <c r="G8" s="17"/>
      <c r="H8" s="17"/>
      <c r="I8" s="17"/>
      <c r="J8" s="17"/>
      <c r="K8" s="17"/>
    </row>
    <row r="9" customFormat="false" ht="15" hidden="false" customHeight="false" outlineLevel="0" collapsed="false">
      <c r="B9" s="17"/>
      <c r="C9" s="17"/>
      <c r="D9" s="17"/>
      <c r="E9" s="17"/>
      <c r="F9" s="17"/>
      <c r="G9" s="17"/>
      <c r="H9" s="17"/>
      <c r="I9" s="17"/>
      <c r="J9" s="17"/>
      <c r="K9" s="17"/>
    </row>
    <row r="10" customFormat="false" ht="15" hidden="false" customHeight="false" outlineLevel="0" collapsed="false"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customFormat="false" ht="15" hidden="false" customHeight="false" outlineLevel="0" collapsed="false"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false" outlineLevel="0" collapsed="false"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customFormat="false" ht="15" hidden="false" customHeight="false" outlineLevel="0" collapsed="false"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customFormat="false" ht="15" hidden="false" customHeight="false" outlineLevel="0" collapsed="false"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customFormat="false" ht="15" hidden="false" customHeight="false" outlineLevel="0" collapsed="false"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customFormat="false" ht="15" hidden="false" customHeight="false" outlineLevel="0" collapsed="false"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customFormat="false" ht="15" hidden="false" customHeight="false" outlineLevel="0" collapsed="false"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customFormat="false" ht="15" hidden="false" customHeight="false" outlineLevel="0" collapsed="false"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customFormat="false" ht="15" hidden="false" customHeight="false" outlineLevel="0" collapsed="false"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false" outlineLevel="0" collapsed="false"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customFormat="false" ht="15" hidden="false" customHeight="false" outlineLevel="0" collapsed="false"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5" hidden="false" customHeight="false" outlineLevel="0" collapsed="false"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15" hidden="false" customHeight="false" outlineLevel="0" collapsed="false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5" hidden="false" customHeight="false" outlineLevel="0" collapsed="false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customFormat="false" ht="15" hidden="false" customHeight="false" outlineLevel="0" collapsed="false"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5" hidden="false" customHeight="false" outlineLevel="0" collapsed="false"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customFormat="false" ht="15" hidden="false" customHeight="false" outlineLevel="0" collapsed="false"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customFormat="false" ht="15" hidden="false" customHeight="false" outlineLevel="0" collapsed="false"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customFormat="false" ht="15" hidden="false" customHeight="false" outlineLevel="0" collapsed="false"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customFormat="false" ht="15" hidden="false" customHeight="false" outlineLevel="0" collapsed="false"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customFormat="false" ht="15" hidden="false" customHeight="false" outlineLevel="0" collapsed="false"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5" hidden="false" customHeight="false" outlineLevel="0" collapsed="false"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customFormat="false" ht="15" hidden="false" customHeight="false" outlineLevel="0" collapsed="false"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15" hidden="false" customHeight="false" outlineLevel="0" collapsed="false"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customFormat="false" ht="15" hidden="false" customHeight="false" outlineLevel="0" collapsed="false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customFormat="false" ht="15" hidden="false" customHeight="false" outlineLevel="0" collapsed="false"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customFormat="false" ht="15" hidden="false" customHeight="false" outlineLevel="0" collapsed="false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customFormat="false" ht="15" hidden="false" customHeight="false" outlineLevel="0" collapsed="false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customFormat="false" ht="15" hidden="false" customHeight="false" outlineLevel="0" collapsed="false"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customFormat="false" ht="15" hidden="false" customHeight="false" outlineLevel="0" collapsed="false"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customFormat="false" ht="15" hidden="false" customHeight="false" outlineLevel="0" collapsed="false"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customFormat="false" ht="15" hidden="false" customHeight="false" outlineLevel="0" collapsed="false"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customFormat="false" ht="15" hidden="false" customHeight="false" outlineLevel="0" collapsed="false"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6" customFormat="false" ht="15" hidden="false" customHeight="false" outlineLevel="0" collapsed="false">
      <c r="B46" s="3" t="s">
        <v>42</v>
      </c>
      <c r="C46" s="18" t="s">
        <v>43</v>
      </c>
      <c r="D46" s="19" t="n">
        <f aca="false">COUNT(H5:H43)</f>
        <v>1</v>
      </c>
      <c r="E46" s="18" t="s">
        <v>44</v>
      </c>
      <c r="F46" s="20" t="n">
        <f aca="false">SUM(H5:H43)</f>
        <v>1.8</v>
      </c>
      <c r="G46" s="18" t="s">
        <v>45</v>
      </c>
      <c r="H46" s="21" t="n">
        <f aca="false">IF(COUNT(H5:H43)=0,0,COUNTIF(H5:H43,"&gt;0")/COUNT(H5:H43))</f>
        <v>1</v>
      </c>
    </row>
    <row r="48" customFormat="false" ht="15" hidden="false" customHeight="false" outlineLevel="0" collapsed="false">
      <c r="B48" s="12" t="s">
        <v>46</v>
      </c>
    </row>
    <row r="49" customFormat="false" ht="15" hidden="false" customHeight="false" outlineLevel="0" collapsed="false">
      <c r="B49" s="12" t="s">
        <v>47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2026-07-19T10:36:58Z</dcterms:created>
  <dc:creator>openpyxl</dc:creator>
  <dc:description/>
  <dc:language>en-US</dc:language>
  <cp:lastModifiedBy/>
  <dcterms:modified xsi:type="dcterms:W3CDTF">2026-07-19T10:36:58Z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